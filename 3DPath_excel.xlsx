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orttrexonoutlook-my.sharepoint.com/personal/jrenner_ezform_com/Documents/Desktop/"/>
    </mc:Choice>
  </mc:AlternateContent>
  <xr:revisionPtr revIDLastSave="0" documentId="8_{CDDC03A4-AB89-4626-BD6A-31FEA49AC7A3}" xr6:coauthVersionLast="47" xr6:coauthVersionMax="47" xr10:uidLastSave="{00000000-0000-0000-0000-000000000000}"/>
  <bookViews>
    <workbookView xWindow="-108" yWindow="-108" windowWidth="30936" windowHeight="16776" xr2:uid="{0991847A-8BB8-4F6C-9759-6E495E215CF3}"/>
  </bookViews>
  <sheets>
    <sheet name="3D Pa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 a="1"/>
  <c r="Q2" i="1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math
import numpy as np
import pandas as pd
# ============================================================
# READ INPUTS FROM EXCEL
# ============================================================
# Read the Excel table named PathPoints
df = xl(%P2%, headers=True)
# Keep rows that actually contain XYZ coordinates
df = df.dropna(subset=["X", "Y", "Z"]).reset_index(drop=True)
# Convert XYZ columns to a NumPy array
points = df[["X", "Y", "Z"]].to_numpy(dtype=float)
# ============================================================
# HELPER FUNCTIONS
# ============================================================
def unit(v):
    """
    Return a unit vector in the direction of v.
    """
    mag = np.linalg.norm(v)
    if mag == 0:
        raise ValueError("Zero-length segment encountered.")
    return v / mag
def angle_between(a, b):
    """
    Return the angle between vectors a and b in radians.
    """
    value = np.clip(
        np.dot(unit(a), unit(b)),
        -1.0,
        1.0
    )
    return math.acos(value)
# ============================================================
# CALCULATE SHARP-CORNER LENGTH
# ============================================================
sharp_length = sum(
    np.linalg.norm(points[i + 1] - points[i])
    for i in range(len(points) - 1)
)
# ============================================================
# CALCULATE EACH BEND
# ============================================================
bend_data = []
for i in range(1, len(points) - 1):
    previous = points[i - 1]
    corner = points[i]
    next_point = points[i + 1]
    # Bend radius comes from the Excel row for this corner
    R = float(df.iloc[i]["Bend Radius"])
    # Vectors pointing away from the theoretical intersection
    u1 = unit(previous - corner)
    u2 = unit(next_point - corner)
    # Included angle between the adjacent straight sections
    alpha = angle_between(u1, u2)
    # Actual bend / deflection angle
    delta = math.pi - alpha
    # Tangent setback from the theoretical intersection
    tangent = R * math.tan(delta / 2)
    # Length of circular arc
    arc_length = R * delta
    # Available lengths on either side of the corner
    incoming_length = np.linalg.norm(previous - corner)
    outgoing_length = np.linalg.norm(next_point - corner)
    # Check whether this bend can physically fit
    fits = (
        tangent &lt; incoming_length
        and tangent &lt; outgoing_length
    )
    bend_data.append({
        "Point": df.iloc[i]["Point"],
        "Radius": R,
        "Angle (deg)": math.degrees(delta),
        "Setback": tangent,
        "Arc Length": arc_length,
        "Incoming Length": incoming_length,
        "Outgoing Length": outgoing_length,
        "Fits": fits
    })
# ============================================================
# FINAL PATH LENGTH
# ============================================================
# Every bend removes one tangent length from each adjoining
# sharp straight segment.
removed_length = sum(
    2 * bend["Setback"]
    for bend in bend_data
)
# Total length contributed by all circular bends
total_arc_length = sum(
    bend["Arc Length"]
    for bend in bend_data
)
# Actual developed centerline length
finished_length = (
    sharp_length
    - removed_length
    + total_arc_length
)
# ============================================================
# SUMMARY OUTPUT
# ============================================================
summary = pd.DataFrame({
    "Measurement": [
        "Sharp Corner Length",
        "Straight Length Removed",
        "Arc Length Added",
        "Finished Centerline Length"
    ],
    "Value": [
        sharp_length,
        removed_length,
        total_arc_length,
        finished_length
    ]
})
# ============================================================
# BEND REPORT OUTPUT
# ============================================================
bend_report = pd.DataFrame(bend_data)
# ============================================================
# CELL OUTPUT
# ============================================================
summary</code>
    </pythonScript>
    <pythonScript>
      <code>import math
import numpy as np
import matplotlib.pyplot as plt
# ============================================================
# READ INPUTS FROM EXCEL
# ============================================================
# Read coordinate / bend-radius table
df = xl(%P2%, headers=True)
# Remove any empty coordinate rows
df = df.dropna(subset=["X", "Y", "Z"]).reset_index(drop=True)
# Convert coordinates to NumPy array
points = df[["X", "Y", "Z"]].to_numpy(dtype=float)
# ============================================================
# VIEW SETTINGS FROM EXCEL
# ============================================================
# I2 = Elevation
# I3 = Azimuth
elev = float(xl(%P3%))
azim = float(xl(%P4%))
# Number of points used to draw each bend
ARC_RESOLUTION = 40
# ============================================================
# HELPER FUNCTIONS
# ============================================================
def unit(v):
    mag = np.linalg.norm(v)
    if mag == 0:
        raise ValueError("Zero-length segment encountered.")
    return v / mag
def angle_between(a, b):
    value = np.clip(
        np.dot(unit(a), unit(b)),
        -1.0,
        1.0
    )
    return math.acos(value)
# ============================================================
# GENERATE FINISHED ROUNDED PATH
# ============================================================
path = [points[0]]
for i in range(1, len(points) - 1):
    previous = points[i - 1]
    corner = points[i]
    next_point = points[i + 1]
    # Bend radius for this theoretical intersection
    R = float(df.iloc[i]["Bend Radius"])
    # Vectors pointing away from corner
    u1 = unit(previous - corner)
    u2 = unit(next_point - corner)
    # Included angle
    alpha = angle_between(u1, u2)
    # Bend / deflection angle
    delta = math.pi - alpha
    # Tangent setback
    tangent = R * math.tan(delta / 2)
    # Tangent points
    tangent_in = corner + u1 * tangent
    tangent_out = corner + u2 * tangent
    # Angle bisector
    bisector_vector = u1 + u2
    # If essentially straight, don't construct an arc
    if np.linalg.norm(bisector_vector) &lt; 1e-12:
        path.append(corner)
        continue
    bisector = unit(bisector_vector)
    # Circle center
    center_distance = R / math.cos(delta / 2)
    center = (
        corner
        + bisector * center_distance
    )
    # Radius vectors
    r_start = tangent_in - center
    r_end = tangent_out - center
    # Plane normal
    normal = unit(
        np.cross(r_start, r_end)
    )
    # Arc angle
    arc_angle = angle_between(
        r_start,
        r_end
    )
    # Add straight section up to bend
    path.append(tangent_in)
    # Generate circular arc
    for theta in np.linspace(
        0,
        arc_angle,
        ARC_RESOLUTION
    )[1:]:
        r_rotated = (
            r_start
            * math.cos(theta)
            + np.cross(
                normal,
                r_start
            )
            * math.sin(theta)
            + normal
            * np.dot(
                normal,
                r_start
            )
            * (
                1 - math.cos(theta)
            )
        )
        path.append(
            center + r_rotated
        )
# Add final endpoint
path.append(points[-1])
path = np.array(path)
# ============================================================
# CALCULATE FINISHED LENGTH FOR TITLE
# ============================================================
sharp_length = sum(
    np.linalg.norm(
        points[i + 1] - points[i]
    )
    for i in range(len(points) - 1)
)
removed_length = 0
total_arc_length = 0
for i in range(1, len(points) - 1):
    previous = points[i - 1]
    corner = points[i]
    next_point = points[i + 1]
    R = float(
        df.iloc[i]["Bend Radius"]
    )
    u1 = unit(
        previous - corner
    )
    u2 = unit(
        next_point - corner
    )
    alpha = angle_between(
        u1,
        u2
    )
    delta = math.pi - alpha
    tangent = (
        R
        * math.tan(delta / 2)
    )
    removed_length += (
        2 * tangent
    )
    total_arc_length += (
        R * delta
    )
finished_length = (
    sharp_length
    - removed_length
    + total_arc_length
)
# ============================================================
# CREATE 3D FIGURE
# ============================================================
fig = plt.figure(
    figsize=(9, 7)
)
ax = fig.add_subplot(
    111,
    projection="3d"
)
# ============================================================
# DISPLAY COORDINATE MAPPING
#
# Engineering coordinate system:
#
#       X = vertical
#       Y = horizontal
#       Z = depth
#
# Matplotlib expects:
#
#       plot X = horizontal
#       plot Y = depth
#       plot Z = vertical
#
# Therefore:
#
#       Engineering Y -&gt; Plot X
#       Engineering Z -&gt; Plot Y
#       Engineering X -&gt; Plot Z
#
# ============================================================
# ------------------------------------------------------------
# Finished rounded centerline
# ------------------------------------------------------------
ax.plot(
    path[:, 1],     # Engineering Y
    path[:, 2],     # Engineering Z
    path[:, 0],     # Engineering X
    linewidth=3,
    label="Finished centerline"
)
# ------------------------------------------------------------
# Sharp theoretical reference
# ------------------------------------------------------------
ax.plot(
    points[:, 1],
    points[:, 2],
    points[:, 0],
    linestyle="--",
    linewidth=1,
    label="Sharp reference"
)
# ------------------------------------------------------------
# Theoretical intersection points
# ------------------------------------------------------------
ax.scatter(
    points[:, 1],
    points[:, 2],
    points[:, 0],
    s=35,
    label="Theoretical points"
)
# ------------------------------------------------------------
# Point labels
# ------------------------------------------------------------
for i, p in enumerate(points):
    ax.text(
        p[1],
        p[2],
        p[0],
        f"P{i}",
        fontsize=8
    )
# ============================================================
# AXIS LABELS
# ============================================================
ax.set_xlabel("Y")
ax.set_ylabel("Z")
ax.set_zlabel("X")
# ============================================================
# CAMERA
# ============================================================
# Controlled by Excel cells I2 and I3
ax.view_init(
    elev=elev,
    azim=azim
)
# ============================================================
# KEEP AXES PHYSICALLY PROPORTIONAL
# ============================================================
y_range = np.ptp(points[:, 1])
z_range = np.ptp(points[:, 2])
x_range = np.ptp(points[:, 0])
# Prevent problems if an axis has zero range
y_range = max(y_range, 0.001)
z_range = max(z_range, 0.001)
x_range = max(x_range, 0.001)
ax.set_box_aspect((
    y_range,
    z_range,
    x_range
))
# ============================================================
# TITLE
# ============================================================
ax.set_title(
    f"3D Assembly Centerline\n"
    f"Finished Length = {finished_length:.4f}\n"
    f"Elevation = {elev:.0f}°   "
    f"Azimuth = {azim:.0f}°"
)
# ============================================================
# LEGEND
# ============================================================
ax.legend()
# ============================================================
# FINISH
# ============================================================
plt.tight_layout()
fig</code>
    </pythonScript>
  </pythonScripts>
</python>
</file>

<file path=xl/sharedStrings.xml><?xml version="1.0" encoding="utf-8"?>
<sst xmlns="http://schemas.openxmlformats.org/spreadsheetml/2006/main" count="21" uniqueCount="21">
  <si>
    <t>Point</t>
  </si>
  <si>
    <t>X</t>
  </si>
  <si>
    <t>Y</t>
  </si>
  <si>
    <t>Z</t>
  </si>
  <si>
    <t>Bend Radius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</si>
  <si>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</si>
  <si>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</si>
  <si>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</si>
  <si>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</si>
  <si>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</si>
  <si>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</si>
  <si>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</si>
  <si>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</si>
  <si>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</si>
  <si>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</si>
  <si>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</si>
  <si>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</si>
  <si>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</si>
  <si>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Elevation</t>
  </si>
  <si>
    <t>Azimuth</t>
  </si>
  <si>
    <t>P13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</si>
</sst>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1" fillId="3" borderId="1" xfId="0" applyFont="1" applyFill="1" applyBorder="1"/>
    <xf numFmtId="0" fontId="1" fillId="3" borderId="2" xfId="0" applyFont="1" applyFill="1" applyBorder="1"/>
  </cellXfs>
  <cellStyles count="1">
    <cellStyle name="Normal" xfId="0" builtinId="0"/>
  </cellStyles>
  <dxfs count="7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trlProps/ctrlProp1.xml><?xml version="1.0" encoding="utf-8"?>
<formControlPr xmlns="http://schemas.microsoft.com/office/spreadsheetml/2009/9/main" objectType="Scroll" dx="26" fmlaLink="$X$3" inc="30" max="180" page="10" val="30"/>
</file>

<file path=xl/ctrlProps/ctrlProp2.xml><?xml version="1.0" encoding="utf-8"?>
<formControlPr xmlns="http://schemas.microsoft.com/office/spreadsheetml/2009/9/main" objectType="Scroll" dx="26" fmlaLink="$Y$3" inc="30" max="180" noThreeD="1" page="10" val="3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525781</xdr:colOff>
      <xdr:row>1</xdr:row>
      <xdr:rowOff>0</xdr:rowOff>
    </xdr:from>
    <xdr:to>
      <xdr:col>17</xdr:col>
      <xdr:colOff>760510</xdr:colOff>
      <xdr:row>34</xdr:row>
      <xdr:rowOff>128592</xdr:rowOff>
    </xdr:to>
    <xdr:pic>
      <xdr:nvPicPr>
        <xdr:cNvPr id="5" name="Picture 4" descr="Image generated by Python">
          <a:extLst>
            <a:ext uri="{FF2B5EF4-FFF2-40B4-BE49-F238E27FC236}">
              <a16:creationId xmlns:a16="http://schemas.microsoft.com/office/drawing/2014/main" id="{9978CBD6-9B7F-C397-EFB9-E080A3B5E2A2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3D Path'!Q2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5221" y="182880"/>
          <a:ext cx="6315489" cy="616363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76200</xdr:colOff>
          <xdr:row>3</xdr:row>
          <xdr:rowOff>106680</xdr:rowOff>
        </xdr:from>
        <xdr:to>
          <xdr:col>23</xdr:col>
          <xdr:colOff>548640</xdr:colOff>
          <xdr:row>20</xdr:row>
          <xdr:rowOff>91440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60960</xdr:colOff>
          <xdr:row>3</xdr:row>
          <xdr:rowOff>114300</xdr:rowOff>
        </xdr:from>
        <xdr:to>
          <xdr:col>24</xdr:col>
          <xdr:colOff>563880</xdr:colOff>
          <xdr:row>20</xdr:row>
          <xdr:rowOff>99060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3A20898F-DBBE-E6D9-70F5-498A6AF39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9</v>
    <v>Image generated by Python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20CC6E-F162-4441-A9DF-DBBBDB37B98E}" name="PathPoints" displayName="PathPoints" ref="A1:E15" totalsRowShown="0" headerRowDxfId="1" dataDxfId="0">
  <autoFilter ref="A1:E15" xr:uid="{6420CC6E-F162-4441-A9DF-DBBBDB37B98E}"/>
  <tableColumns count="5">
    <tableColumn id="1" xr3:uid="{4710C42E-8889-4BBD-965E-719EF7B51F8D}" name="Point" dataDxfId="6"/>
    <tableColumn id="2" xr3:uid="{651A4B02-AFE2-4768-B0F9-121F8A0178DC}" name="X" dataDxfId="5"/>
    <tableColumn id="3" xr3:uid="{E74D1F8B-0DC8-477D-A41F-DBCDD5AD5810}" name="Y" dataDxfId="4"/>
    <tableColumn id="4" xr3:uid="{AB1E9482-5B82-472D-8218-4426FEBB17EC}" name="Z" dataDxfId="3"/>
    <tableColumn id="5" xr3:uid="{1EE029B7-8E43-4A04-AA9E-9504ABDF6176}" name="Bend Radius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2412-4A10-42B4-A416-71023CCE11B1}">
  <dimension ref="A1:Y22"/>
  <sheetViews>
    <sheetView tabSelected="1" workbookViewId="0">
      <selection activeCell="F12" sqref="F12"/>
    </sheetView>
  </sheetViews>
  <sheetFormatPr defaultRowHeight="14.4" x14ac:dyDescent="0.3"/>
  <cols>
    <col min="5" max="5" width="13.109375" customWidth="1"/>
    <col min="8" max="8" width="23.44140625" customWidth="1"/>
    <col min="9" max="9" width="11.44140625" customWidth="1"/>
    <col min="11" max="11" width="25.21875" customWidth="1"/>
    <col min="12" max="12" width="12.21875" customWidth="1"/>
    <col min="15" max="15" width="11" customWidth="1"/>
    <col min="17" max="17" width="4.6640625" customWidth="1"/>
    <col min="18" max="18" width="11.44140625" customWidth="1"/>
    <col min="20" max="20" width="9.109375" bestFit="1" customWidth="1"/>
  </cols>
  <sheetData>
    <row r="1" spans="1: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25" x14ac:dyDescent="0.3">
      <c r="A2" s="1" t="s">
        <v>5</v>
      </c>
      <c r="B2" s="1">
        <v>0</v>
      </c>
      <c r="C2" s="1">
        <v>0</v>
      </c>
      <c r="D2" s="1">
        <v>0</v>
      </c>
      <c r="E2" s="1"/>
      <c r="H2" s="12" t="str" cm="1">
        <f t="array" ref="H2:I6">_xlfn._xlws.PY(0,0,PathPoints[#All])</f>
        <v>Measurement</v>
      </c>
      <c r="I2" s="13" t="str">
        <v>Value</v>
      </c>
      <c r="Q2" s="11" t="e" cm="1" vm="1">
        <f t="array" ref="Q2">_xlfn._xlws.PY(1,0,PathPoints[#All],X3,Y3)</f>
        <v>#VALUE!</v>
      </c>
      <c r="X2" s="7" t="s">
        <v>18</v>
      </c>
      <c r="Y2" s="8" t="s">
        <v>19</v>
      </c>
    </row>
    <row r="3" spans="1:25" x14ac:dyDescent="0.3">
      <c r="A3" s="1" t="s">
        <v>6</v>
      </c>
      <c r="B3" s="1">
        <v>-0.83099999999999996</v>
      </c>
      <c r="C3" s="1">
        <v>0</v>
      </c>
      <c r="D3" s="1">
        <v>0</v>
      </c>
      <c r="E3" s="1">
        <v>0.42499999999999999</v>
      </c>
      <c r="H3" s="3" t="str">
        <v>Sharp Corner Length</v>
      </c>
      <c r="I3" s="4">
        <v>22.721576568077332</v>
      </c>
      <c r="X3" s="9">
        <v>30</v>
      </c>
      <c r="Y3" s="10">
        <v>30</v>
      </c>
    </row>
    <row r="4" spans="1:25" x14ac:dyDescent="0.3">
      <c r="A4" s="1" t="s">
        <v>7</v>
      </c>
      <c r="B4" s="1">
        <v>-0.83099999999999996</v>
      </c>
      <c r="C4" s="1">
        <v>0</v>
      </c>
      <c r="D4" s="1">
        <v>1.046</v>
      </c>
      <c r="E4" s="1">
        <v>0.42499999999999999</v>
      </c>
      <c r="H4" s="3" t="str">
        <v>Straight Length Removed</v>
      </c>
      <c r="I4" s="4">
        <v>9.8542775413247998</v>
      </c>
      <c r="X4" s="3"/>
      <c r="Y4" s="4"/>
    </row>
    <row r="5" spans="1:25" x14ac:dyDescent="0.3">
      <c r="A5" s="1" t="s">
        <v>8</v>
      </c>
      <c r="B5" s="1">
        <v>0.67300000000000004</v>
      </c>
      <c r="C5" s="1">
        <v>0</v>
      </c>
      <c r="D5" s="1">
        <v>0.46200000000000002</v>
      </c>
      <c r="E5" s="1">
        <v>0.42499999999999999</v>
      </c>
      <c r="H5" s="3" t="str">
        <v>Arc Length Added</v>
      </c>
      <c r="I5" s="4">
        <v>5.9807733659756206</v>
      </c>
      <c r="X5" s="3"/>
      <c r="Y5" s="4"/>
    </row>
    <row r="6" spans="1:25" x14ac:dyDescent="0.3">
      <c r="A6" s="1" t="s">
        <v>9</v>
      </c>
      <c r="B6" s="1">
        <v>2.5880000000000001</v>
      </c>
      <c r="C6" s="1">
        <v>0</v>
      </c>
      <c r="D6" s="1">
        <v>0.34599999999999997</v>
      </c>
      <c r="E6" s="1">
        <v>0.42499999999999999</v>
      </c>
      <c r="H6" s="5" t="str">
        <v>Finished Centerline Length</v>
      </c>
      <c r="I6" s="6">
        <v>18.848072392728152</v>
      </c>
      <c r="X6" s="3"/>
      <c r="Y6" s="4"/>
    </row>
    <row r="7" spans="1:25" x14ac:dyDescent="0.3">
      <c r="A7" s="1" t="s">
        <v>10</v>
      </c>
      <c r="B7" s="1">
        <v>2.5880000000000001</v>
      </c>
      <c r="C7" s="1">
        <v>-1.4430000000000001</v>
      </c>
      <c r="D7" s="1">
        <v>0.34599999999999997</v>
      </c>
      <c r="E7" s="1">
        <v>0.42499999999999999</v>
      </c>
      <c r="X7" s="3"/>
      <c r="Y7" s="4"/>
    </row>
    <row r="8" spans="1:25" x14ac:dyDescent="0.3">
      <c r="A8" s="1" t="s">
        <v>11</v>
      </c>
      <c r="B8" s="1">
        <v>0.67300000000000004</v>
      </c>
      <c r="C8" s="1">
        <v>-1.4430000000000001</v>
      </c>
      <c r="D8" s="1">
        <v>0.46200000000000002</v>
      </c>
      <c r="E8" s="1">
        <v>0.42499999999999999</v>
      </c>
      <c r="X8" s="3"/>
      <c r="Y8" s="4"/>
    </row>
    <row r="9" spans="1:25" x14ac:dyDescent="0.3">
      <c r="A9" s="1" t="s">
        <v>12</v>
      </c>
      <c r="B9" s="1">
        <v>-0.99199999999999999</v>
      </c>
      <c r="C9" s="1">
        <v>-1.5089999999999999</v>
      </c>
      <c r="D9" s="1">
        <v>0.83499999999999996</v>
      </c>
      <c r="E9" s="1">
        <v>0.42499999999999999</v>
      </c>
      <c r="X9" s="3"/>
      <c r="Y9" s="4"/>
    </row>
    <row r="10" spans="1:25" x14ac:dyDescent="0.3">
      <c r="A10" s="1" t="s">
        <v>13</v>
      </c>
      <c r="B10" s="1">
        <v>-0.94099999999999995</v>
      </c>
      <c r="C10" s="1">
        <v>-2.34</v>
      </c>
      <c r="D10" s="1">
        <v>0.91500000000000004</v>
      </c>
      <c r="E10" s="1">
        <v>0.42499999999999999</v>
      </c>
      <c r="X10" s="3"/>
      <c r="Y10" s="4"/>
    </row>
    <row r="11" spans="1:25" x14ac:dyDescent="0.3">
      <c r="A11" s="1" t="s">
        <v>14</v>
      </c>
      <c r="B11" s="1">
        <v>-0.73799999999999999</v>
      </c>
      <c r="C11" s="1">
        <v>-4.3040000000000003</v>
      </c>
      <c r="D11" s="1">
        <v>1.643</v>
      </c>
      <c r="E11" s="1">
        <v>0.42499999999999999</v>
      </c>
      <c r="X11" s="3"/>
      <c r="Y11" s="4"/>
    </row>
    <row r="12" spans="1:25" x14ac:dyDescent="0.3">
      <c r="A12" s="1" t="s">
        <v>15</v>
      </c>
      <c r="B12" s="1">
        <v>-0.47299999999999998</v>
      </c>
      <c r="C12" s="1">
        <v>-6.0060000000000002</v>
      </c>
      <c r="D12" s="1">
        <v>2.851</v>
      </c>
      <c r="E12" s="1">
        <v>0.42499999999999999</v>
      </c>
      <c r="X12" s="3"/>
      <c r="Y12" s="4"/>
    </row>
    <row r="13" spans="1:25" x14ac:dyDescent="0.3">
      <c r="A13" s="1" t="s">
        <v>16</v>
      </c>
      <c r="B13" s="1">
        <v>8.4000000000000005E-2</v>
      </c>
      <c r="C13" s="1">
        <v>-7.7560000000000002</v>
      </c>
      <c r="D13" s="1">
        <v>3.69</v>
      </c>
      <c r="E13" s="1">
        <v>0.42499999999999999</v>
      </c>
      <c r="X13" s="3"/>
      <c r="Y13" s="4"/>
    </row>
    <row r="14" spans="1:25" x14ac:dyDescent="0.3">
      <c r="A14" s="1" t="s">
        <v>17</v>
      </c>
      <c r="B14" s="1">
        <v>-1</v>
      </c>
      <c r="C14" s="1">
        <v>-8</v>
      </c>
      <c r="D14" s="1">
        <v>2</v>
      </c>
      <c r="E14" s="1">
        <v>0.42499999999999999</v>
      </c>
      <c r="X14" s="3"/>
      <c r="Y14" s="4"/>
    </row>
    <row r="15" spans="1:25" x14ac:dyDescent="0.3">
      <c r="A15" s="1" t="s">
        <v>20</v>
      </c>
      <c r="B15" s="1">
        <v>1.712</v>
      </c>
      <c r="C15" s="1">
        <v>-7.4329999999999998</v>
      </c>
      <c r="D15" s="1">
        <v>3.5139999999999998</v>
      </c>
      <c r="E15" s="1"/>
      <c r="X15" s="3"/>
      <c r="Y15" s="4"/>
    </row>
    <row r="16" spans="1:25" x14ac:dyDescent="0.3">
      <c r="X16" s="3"/>
      <c r="Y16" s="4"/>
    </row>
    <row r="17" spans="24:25" x14ac:dyDescent="0.3">
      <c r="X17" s="3"/>
      <c r="Y17" s="4"/>
    </row>
    <row r="18" spans="24:25" x14ac:dyDescent="0.3">
      <c r="X18" s="3"/>
      <c r="Y18" s="4"/>
    </row>
    <row r="19" spans="24:25" x14ac:dyDescent="0.3">
      <c r="X19" s="3"/>
      <c r="Y19" s="4"/>
    </row>
    <row r="20" spans="24:25" x14ac:dyDescent="0.3">
      <c r="X20" s="3"/>
      <c r="Y20" s="4"/>
    </row>
    <row r="21" spans="24:25" x14ac:dyDescent="0.3">
      <c r="X21" s="3"/>
      <c r="Y21" s="4"/>
    </row>
    <row r="22" spans="24:25" x14ac:dyDescent="0.3">
      <c r="X22" s="5"/>
      <c r="Y22" s="6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croll Bar 1">
              <controlPr defaultSize="0" autoPict="0">
                <anchor moveWithCells="1">
                  <from>
                    <xdr:col>23</xdr:col>
                    <xdr:colOff>76200</xdr:colOff>
                    <xdr:row>3</xdr:row>
                    <xdr:rowOff>106680</xdr:rowOff>
                  </from>
                  <to>
                    <xdr:col>23</xdr:col>
                    <xdr:colOff>548640</xdr:colOff>
                    <xdr:row>20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Scroll Bar 2">
              <controlPr defaultSize="0" autoPict="0">
                <anchor moveWithCells="1">
                  <from>
                    <xdr:col>24</xdr:col>
                    <xdr:colOff>60960</xdr:colOff>
                    <xdr:row>3</xdr:row>
                    <xdr:rowOff>114300</xdr:rowOff>
                  </from>
                  <to>
                    <xdr:col>24</xdr:col>
                    <xdr:colOff>563880</xdr:colOff>
                    <xdr:row>20</xdr:row>
                    <xdr:rowOff>99060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3D 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Renner</dc:creator>
  <cp:lastModifiedBy>John Renner</cp:lastModifiedBy>
  <dcterms:created xsi:type="dcterms:W3CDTF">2026-09-08T15:01:09Z</dcterms:created>
  <dcterms:modified xsi:type="dcterms:W3CDTF">2026-09-08T17:27:02Z</dcterms:modified>
</cp:coreProperties>
</file>